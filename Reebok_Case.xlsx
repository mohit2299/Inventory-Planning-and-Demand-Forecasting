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C:\Users\Tom\Documents\Supply Chain\"/>
    </mc:Choice>
  </mc:AlternateContent>
  <xr:revisionPtr revIDLastSave="0" documentId="13_ncr:1_{9D81C211-05E3-4571-830C-5E71F72C1752}" xr6:coauthVersionLast="47" xr6:coauthVersionMax="47" xr10:uidLastSave="{00000000-0000-0000-0000-000000000000}"/>
  <bookViews>
    <workbookView xWindow="-120" yWindow="-120" windowWidth="30960" windowHeight="17070" firstSheet="2" activeTab="2" xr2:uid="{406A9364-5EAC-4C16-9317-880C1C824B17}"/>
  </bookViews>
  <sheets>
    <sheet name="Sheet1" sheetId="1" state="hidden" r:id="rId1"/>
    <sheet name="Sheet2" sheetId="2" state="hidden" r:id="rId2"/>
    <sheet name="Reebok Case"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3" i="3" l="1"/>
  <c r="D48" i="3"/>
  <c r="D49" i="3"/>
  <c r="D50" i="3"/>
  <c r="H50" i="3" s="1"/>
  <c r="D51" i="3"/>
  <c r="H51" i="3" s="1"/>
  <c r="D52" i="3"/>
  <c r="D47" i="3"/>
  <c r="H47" i="3" s="1"/>
  <c r="F44" i="3"/>
  <c r="I44" i="3" s="1"/>
  <c r="L6" i="3"/>
  <c r="F6" i="3"/>
  <c r="H48" i="3"/>
  <c r="H49" i="3"/>
  <c r="H52" i="3"/>
  <c r="K6" i="3"/>
  <c r="E6" i="3"/>
  <c r="K3" i="2"/>
  <c r="G5" i="2"/>
  <c r="I5" i="2"/>
  <c r="G6" i="3" l="1"/>
  <c r="E15" i="3" s="1"/>
  <c r="D53" i="3"/>
  <c r="F53" i="3" s="1"/>
  <c r="M6" i="3"/>
  <c r="E8" i="3" s="1"/>
  <c r="F8" i="3" s="1"/>
  <c r="G8" i="3" s="1"/>
  <c r="H8" i="3" s="1"/>
  <c r="I8" i="3" s="1"/>
  <c r="J8" i="3" s="1"/>
  <c r="K8" i="3" s="1"/>
  <c r="L8" i="3" s="1"/>
  <c r="O52" i="3"/>
  <c r="O48" i="3"/>
  <c r="O47" i="3"/>
  <c r="H44" i="3"/>
  <c r="J44" i="3" s="1"/>
  <c r="O51" i="3"/>
  <c r="O50" i="3"/>
  <c r="O49" i="3"/>
  <c r="E13" i="3"/>
  <c r="F13" i="3" s="1"/>
  <c r="G13" i="3" s="1"/>
  <c r="H13" i="3" s="1"/>
  <c r="I13" i="3" s="1"/>
  <c r="J13" i="3" s="1"/>
  <c r="K13" i="3" s="1"/>
  <c r="L13" i="3" s="1"/>
  <c r="F15" i="3"/>
  <c r="G15" i="3" s="1"/>
  <c r="H15" i="3" s="1"/>
  <c r="E11" i="3"/>
  <c r="E14" i="3"/>
  <c r="F14" i="3" s="1"/>
  <c r="G14" i="3" s="1"/>
  <c r="H14" i="3" s="1"/>
  <c r="E10" i="3"/>
  <c r="F10" i="3" s="1"/>
  <c r="G10" i="3" s="1"/>
  <c r="H10" i="3" s="1"/>
  <c r="E12" i="3"/>
  <c r="F12" i="3" s="1"/>
  <c r="G12" i="3" s="1"/>
  <c r="H12" i="3" s="1"/>
  <c r="H53" i="3" l="1"/>
  <c r="I53" i="3" s="1"/>
  <c r="E16" i="3"/>
  <c r="F16" i="3" s="1"/>
  <c r="G16" i="3" s="1"/>
  <c r="H16" i="3" s="1"/>
  <c r="I16" i="3" s="1"/>
  <c r="J16" i="3" s="1"/>
  <c r="K16" i="3" s="1"/>
  <c r="I10" i="3"/>
  <c r="J10" i="3" s="1"/>
  <c r="K10" i="3" s="1"/>
  <c r="L10" i="3" s="1"/>
  <c r="I12" i="3"/>
  <c r="J12" i="3" s="1"/>
  <c r="K12" i="3" s="1"/>
  <c r="L12" i="3" s="1"/>
  <c r="I15" i="3"/>
  <c r="J15" i="3" s="1"/>
  <c r="K15" i="3" s="1"/>
  <c r="L15" i="3" s="1"/>
  <c r="I14" i="3"/>
  <c r="J14" i="3" s="1"/>
  <c r="K14" i="3" s="1"/>
  <c r="L14" i="3" s="1"/>
  <c r="F11" i="3"/>
  <c r="G11" i="3" s="1"/>
  <c r="H11" i="3" s="1"/>
  <c r="J53" i="3" l="1"/>
  <c r="K53" i="3" s="1"/>
  <c r="I11" i="3"/>
  <c r="J11" i="3" s="1"/>
  <c r="K11" i="3" s="1"/>
  <c r="L11" i="3" s="1"/>
  <c r="L16" i="3"/>
  <c r="L17" i="3" l="1"/>
  <c r="L19" i="3" s="1"/>
  <c r="L53" i="3"/>
  <c r="M53" i="3" s="1"/>
  <c r="N53" i="3" s="1"/>
  <c r="O53" i="3" s="1"/>
  <c r="O54"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Tom</author>
  </authors>
  <commentList>
    <comment ref="L19" authorId="0" shapeId="0" xr:uid="{766728C8-9444-467A-8DAF-36DF989E27D1}">
      <text>
        <r>
          <rPr>
            <b/>
            <sz val="9"/>
            <color indexed="81"/>
            <rFont val="Tahoma"/>
            <family val="2"/>
          </rPr>
          <t>Tom: We performed this comparison to show the benefit of aggregating production, even with worst case cost and salvage scenarios.</t>
        </r>
        <r>
          <rPr>
            <sz val="9"/>
            <color indexed="81"/>
            <rFont val="Tahoma"/>
            <family val="2"/>
          </rPr>
          <t xml:space="preserve">
</t>
        </r>
      </text>
    </comment>
  </commentList>
</comments>
</file>

<file path=xl/sharedStrings.xml><?xml version="1.0" encoding="utf-8"?>
<sst xmlns="http://schemas.openxmlformats.org/spreadsheetml/2006/main" count="128" uniqueCount="96">
  <si>
    <t>Although the consumer demand for jerseys is year round, the NFL season drives much of the demand.</t>
  </si>
  <si>
    <t>Sales are highest in August and September in anticipation of the season.</t>
  </si>
  <si>
    <t>As the season starts, certain teams and players get a sales bump due to their performances.</t>
  </si>
  <si>
    <t>Later in the season, consumer demand is driven by holiday presents and the anticipation of the playoffs.</t>
  </si>
  <si>
    <t>During the play-offs the demand is strongly correlated to weekly performance.</t>
  </si>
  <si>
    <t>Most player trades and free agent signings occur during the off season of February to April. Consumers react to these player movements by demanding the newest superstar jersey for their favourite team.</t>
  </si>
  <si>
    <t>The annual sales cycle starts in January/February</t>
  </si>
  <si>
    <t>Sales Cycle</t>
  </si>
  <si>
    <t>Reebok offers retailers a discount to place early orders that result in retailers placing approximately 20% of annual orders for planned delivery in May.</t>
  </si>
  <si>
    <t>There is limited ordering by the retailers between February and April except for some order adjustments; for instance, retailers place orders for short lead-time delivery to meet unexpected demand due to player movements,</t>
  </si>
  <si>
    <t>Retail orders placed between May and August are primarily to position inventory in the retail distribution centers (DCs) to meet the in-season replenishment requirements from the retail outlets</t>
  </si>
  <si>
    <t>the lead-time expectations at this point are 3 to 4 weeks.</t>
  </si>
  <si>
    <t>By the end of August, Reebok has shipped 50% of anticipated sales to retailers.</t>
  </si>
  <si>
    <t>The in-season replenishment period between September and January is known as “The Chase.”</t>
  </si>
  <si>
    <t>For the jerseys that are selling according to the pre-season forecasts, retailers use their DC inventory to replenish the stock at their stores. But the retailers need to place replenishment orders with Reebok for strong sellers to restock their DC inventories.</t>
  </si>
  <si>
    <t>Unknown players become superstars, and former superstars become non-factor players. There is an opportunity for retailers to sell through high volumes of product if they can stock the correct players to match the consumer demand.</t>
  </si>
  <si>
    <t>A Senior Purchasing Manager at a large sports retailer explains, “We really need to anticipate what teams and which players will be popular this season, and ensure that they have inventory on hand. We replenish in-store inventory as required on a weekly basis from the DC.”</t>
  </si>
  <si>
    <t>Supply Chain</t>
  </si>
  <si>
    <t>Reebok supplies directly the distribution centers for its major retailers from its DC in Indianapolis.</t>
  </si>
  <si>
    <t>Retailers expect lead times between 3 to 12 weeks for replenishment of normal demand, but expect much shorter lead times of 1 to 2 weeks when faced with hotmarket demand.</t>
  </si>
  <si>
    <t>Reebok sources all jerseys from offshore contract manufacturers (CM) with a manufacturing lead-time of 30 days.</t>
  </si>
  <si>
    <t>Shipping takes two months for ocean shipping or one week via air.</t>
  </si>
  <si>
    <t>The contract manufacturers cut, sew, and assemble a finished team jersey with team colors and markings, but without a player name or number. This is called a “team finished” or “blank” jersey.</t>
  </si>
  <si>
    <t>The jersey then has two possible paths to reach finished 5 goods inventory.</t>
  </si>
  <si>
    <t>For some orders, the CM screen-prints the player name and number on the jersey to produce a “dressed” jersey, which is then shipped to the Reebok distribution center as a finished good.</t>
  </si>
  <si>
    <t>Blank jerseys are shipped directly to the (Reebok) distribution center with no player name or number. We keep these jerseys in inventory until we start to see demand, then we will burn blanks to meet customer orders on time”.</t>
  </si>
  <si>
    <t>Within its DC, Reebok has its own screen printing facility, which it uses for finishing the blank jerseys. It has a capacity to print about 10,000 jerseys per day during the peak season</t>
  </si>
  <si>
    <t>If the immediate requirements exceed the finishing capacity in Indianapolis, Reebok has identified good local outsourcing options with more than enough capacity, but at some additional cost. The cost to outsource is approximately 10% higher then the internal decorating cost.)</t>
  </si>
  <si>
    <t>The CM and Reebok have an agreed minimum order level of 1728 units for the dressed jersey for any player. A player with demand less
than this level will be supplied through the use of blank jerseys that are printed in
Indianapolis. A typical NFL team has only a handful of players with demand sufficient
to warrant production by the CM.</t>
  </si>
  <si>
    <t>Purchase order X2 for blank jerseys (can be expidited for immediate delivery)</t>
  </si>
  <si>
    <t>Order placement for known demand from retailers</t>
  </si>
  <si>
    <t>Purchases orders on known and forcasted demand.</t>
  </si>
  <si>
    <t>Expected delivery of 2003 purchase orders and Purchases orders on known and forcasted demand.</t>
  </si>
  <si>
    <t>Most critical</t>
  </si>
  <si>
    <t>Wholsesale price to retailers</t>
  </si>
  <si>
    <t>blank cost</t>
  </si>
  <si>
    <t>dressed cost</t>
  </si>
  <si>
    <t>Outsourced cost</t>
  </si>
  <si>
    <t>Reebok has several options for jerseys that it cannot sell to retailers and that are leftover at the end of the season. Reebok can sell to discounters but needs to do so carefully to protect its retail channels. Reebok can also hold unsold jerseys in its DC and hope to sell them during the next season.</t>
  </si>
  <si>
    <t>Planning Problem</t>
  </si>
  <si>
    <t xml:space="preserve">There is significant risk with this option, especially for dressed jerseys, due to free-agent signings, trades and retirements. Also, teams often change the style or color of their uniforms. </t>
  </si>
  <si>
    <t>Reebok’s general practice is to sell leftover dressed jerseys at a discount but hold blank jerseys for the next season</t>
  </si>
  <si>
    <t>Scrap</t>
  </si>
  <si>
    <t>holding cost</t>
  </si>
  <si>
    <t>Forecasting demand is a challenge. Reebok develops forecasts based on a combination of factors: past sales, team and player performances, market intelligence, advanced orders, informed guesses.</t>
  </si>
  <si>
    <t>Brown</t>
  </si>
  <si>
    <t>Brady</t>
  </si>
  <si>
    <t>Law</t>
  </si>
  <si>
    <t>Vinatieri</t>
  </si>
  <si>
    <t>Bruschi</t>
  </si>
  <si>
    <t>Smith</t>
  </si>
  <si>
    <t>Other Players</t>
  </si>
  <si>
    <t>Mean</t>
  </si>
  <si>
    <t>Stdev</t>
  </si>
  <si>
    <t>All</t>
  </si>
  <si>
    <t>Revenue</t>
  </si>
  <si>
    <t>Cost</t>
  </si>
  <si>
    <t>Salvage Value</t>
  </si>
  <si>
    <t>CU</t>
  </si>
  <si>
    <t>CO</t>
  </si>
  <si>
    <t>CF</t>
  </si>
  <si>
    <t>Given the uncertainty associated with player demand, how should Reebok approach inventory planning for NFL replica jerseys?</t>
  </si>
  <si>
    <t>Z</t>
  </si>
  <si>
    <t>E(Z)</t>
  </si>
  <si>
    <t>Exp Shortages</t>
  </si>
  <si>
    <t>Exp Sales</t>
  </si>
  <si>
    <t>Exp Leftovers</t>
  </si>
  <si>
    <t>Total Cost</t>
  </si>
  <si>
    <t>Q</t>
  </si>
  <si>
    <t>Exp Profit</t>
  </si>
  <si>
    <t>What should Reebok’s goal be? Should Reebok minimize inventory at end of season? Or maximize profits? Can Reebok achieve both? What service level should Reebok provide to its customers?</t>
  </si>
  <si>
    <t>Is the newsboy model helpful here? What is the cost of underage for a dressed jersey? What is the cost of overage for a dressed jersey? How might Reebok decide between dressed jerseys and blank jerseys?</t>
  </si>
  <si>
    <t>Using the forecast for the New England Patriots – what is the optimal quantity to order for each player? For blank jerseys? What profit do you expect for Reebok? How much and what type of inventory is expected to be left over at the end of the season? What service level?</t>
  </si>
  <si>
    <t>Updated Stdev</t>
  </si>
  <si>
    <t>Cost reg</t>
  </si>
  <si>
    <t>Cost outsourced</t>
  </si>
  <si>
    <t>Cost Used</t>
  </si>
  <si>
    <t>Salvage</t>
  </si>
  <si>
    <t>Update Demand</t>
  </si>
  <si>
    <t>Q1</t>
  </si>
  <si>
    <t>Q2</t>
  </si>
  <si>
    <t>Q3</t>
  </si>
  <si>
    <t>Stdev Factor</t>
  </si>
  <si>
    <t>Initial Mean Demand</t>
  </si>
  <si>
    <t>Dressed Jersey</t>
  </si>
  <si>
    <t>Blank Jersey (with assumption that all remaining units are salvaged and all fabrication cost inccurs 10% additional fee)</t>
  </si>
  <si>
    <t xml:space="preserve">Reebok goal should be to maximize profits. By employing the strategy, we outlined, the risk of extra inventory is largely diminished as a result of being able to carry over inventory (cost of $1.045 per unit holding cost, and inventory can be sold the following year). Additionally, we achieve both a minimization of inventory and maximization of profit by reducing our overall standard deviation by consolidating any uncertain demand to blank jerseys, which means we do not have to carry as much safety stock on hand. On a side note, teams do not change jersey design often at all which means there is not a high level of risk in choosing to carry over the jersey. Reebok should provide the service level needed to maximize profits as there is no chance of customers leaving for an alternative supplier due to Reeboks deal to be the exclusive supplier of the NFL. 	</t>
  </si>
  <si>
    <t>Q4</t>
  </si>
  <si>
    <t>Purchase Order % of Dressed Jerseys Demand</t>
  </si>
  <si>
    <t>Additional profit producing exclusively blank jerseys</t>
  </si>
  <si>
    <t>Total</t>
  </si>
  <si>
    <t>Reebok Case</t>
  </si>
  <si>
    <t>Team #8</t>
  </si>
  <si>
    <t xml:space="preserve">Reebok should only order dressed jerseys to fulfill retailer purchase orders and thereby would incure no overage or underage cost as demand would be certain. The remaining jersey demand should be satisfied by blank jerseys. By aggregating our manufacturing to blank jerseys instead of a mix of both, we reduce the amount of safety stock needed, and therefore are able to reduce the quantity of inventory kept on hand. Even with the additional manufacturing cost, Reebok would save money with this strategy. Additionally, by having blank jerseys, Reebok is able to carry over their inventory into the following year. The risk of teams switching jerseys is low, to use the patriots as an example, from 2000-2020 the team did not change jersey design. Another example is the Seattle Seahawks, who have had the same Jersey design since 2013. This strategy is known as a push-pull system.		</t>
  </si>
  <si>
    <t xml:space="preserve">The newsboy model is helpful, we used the model to validate that we would expect to receive a higher net profit if producing exclusively blank jerseys, even if we had to salvage all remaining inventory at year end at the $7 a unit rate, and with the manufacturing cost being $12.14 a unit ($12.14 is sourced from the cost of producing a blank jersey, and the additional fabrication cost, with the 10% outsourcing cost applied to all units) . The cost of overage is $3.9 a unit, and the cost of underage is $13.1 a unit for a dressed jersey. Reebok should opt to only purchase dressed jerseys that are ordered by retailers. There is nothing present in the case that suggests that Reebok would be unable to meet demand if they manufacture bulk blank jerseys to fulfill any and all forecasted demand and only produced dressed jerseys to match guaranteed orders.	</t>
  </si>
  <si>
    <t>Our stated strategy was to maximize profits, and to reduce inventory by only manufacturing dressed jerseys unless we have a guarantee of demand via purchase order for a specific player jersey, in which case we would manufacture a dressed jersey. To calculate this, we needed to make a handful of assumptions which are listed below. We purposefully made our assumptions targeted to worst case scenario so that we could prove the superiority in our chosen method. We would expect to satisfy 100% of dressed jersey demand, and 8,550 units over expected mean demand for blank jerseys. While this production quantity will result in a poor service level if demand vastly exceeds mean demand, it does maximize expected profit which is our goal. Lastly, in reality, we would carry over our remaining blank jerseys instead of scrapping them all, so take the results with a grain of salt, our actual performance with this strategy would be much better than what is shown.
Assumption 1: All dressed jersey demand is certain.
Assumption 1b) 20% of mean demand for star players is certain, the remaining 80% is uncertain and would therefore be satisfied by our blank jersey supply. 
Assumption 2) All remaining units are scrapped (so we can use the newsboy model)
Assumption 3) 90% of fabrication for blank jerseys must run through an outsourced fab (for cost calculations).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</si>
</sst>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8" formatCode="0.0"/>
  </numFmts>
  <fonts count="6"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sz val="9"/>
      <color indexed="81"/>
      <name val="Tahoma"/>
      <family val="2"/>
    </font>
    <font>
      <b/>
      <sz val="9"/>
      <color indexed="81"/>
      <name val="Tahoma"/>
      <family val="2"/>
    </font>
  </fonts>
  <fills count="7">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theme="7"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99">
    <xf numFmtId="0" fontId="0" fillId="0" borderId="0" xfId="0"/>
    <xf numFmtId="0" fontId="2" fillId="0" borderId="0" xfId="0" applyFont="1"/>
    <xf numFmtId="0" fontId="2" fillId="0" borderId="0" xfId="0" applyFont="1" applyFill="1"/>
    <xf numFmtId="0" fontId="0" fillId="0" borderId="0" xfId="0" applyAlignment="1"/>
    <xf numFmtId="17" fontId="0" fillId="0" borderId="0" xfId="0" applyNumberFormat="1"/>
    <xf numFmtId="0" fontId="0" fillId="0" borderId="2" xfId="0" applyBorder="1" applyAlignment="1">
      <alignment horizontal="center" textRotation="90"/>
    </xf>
    <xf numFmtId="17" fontId="0" fillId="2" borderId="3" xfId="0" applyNumberFormat="1" applyFill="1" applyBorder="1"/>
    <xf numFmtId="0" fontId="0" fillId="0" borderId="4" xfId="0" applyBorder="1" applyAlignment="1">
      <alignment horizontal="center" textRotation="90"/>
    </xf>
    <xf numFmtId="17" fontId="0" fillId="2" borderId="5" xfId="0" applyNumberFormat="1" applyFill="1" applyBorder="1"/>
    <xf numFmtId="0" fontId="0" fillId="0" borderId="6" xfId="0" applyBorder="1" applyAlignment="1">
      <alignment horizontal="center" textRotation="90"/>
    </xf>
    <xf numFmtId="17" fontId="0" fillId="2" borderId="7" xfId="0" applyNumberFormat="1" applyFill="1" applyBorder="1"/>
    <xf numFmtId="43" fontId="0" fillId="0" borderId="0" xfId="1" applyFont="1"/>
    <xf numFmtId="43" fontId="0" fillId="0" borderId="0" xfId="0" applyNumberFormat="1"/>
    <xf numFmtId="0" fontId="0" fillId="0" borderId="2" xfId="0" applyBorder="1" applyAlignment="1">
      <alignment horizontal="left" vertical="top" wrapText="1"/>
    </xf>
    <xf numFmtId="0" fontId="0" fillId="0" borderId="8"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0"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9" xfId="0" applyBorder="1" applyAlignment="1">
      <alignment horizontal="left" vertical="top" wrapText="1"/>
    </xf>
    <xf numFmtId="0" fontId="0" fillId="0" borderId="7" xfId="0" applyBorder="1" applyAlignment="1">
      <alignment horizontal="left" vertical="top" wrapText="1"/>
    </xf>
    <xf numFmtId="0" fontId="0" fillId="0" borderId="2" xfId="0" applyBorder="1"/>
    <xf numFmtId="0" fontId="0" fillId="0" borderId="8" xfId="0" applyBorder="1"/>
    <xf numFmtId="43" fontId="0" fillId="0" borderId="8" xfId="1" applyFont="1" applyBorder="1"/>
    <xf numFmtId="43" fontId="0" fillId="0" borderId="3" xfId="0" applyNumberFormat="1" applyBorder="1"/>
    <xf numFmtId="0" fontId="0" fillId="0" borderId="4" xfId="0" applyBorder="1"/>
    <xf numFmtId="0" fontId="0" fillId="0" borderId="0" xfId="0" applyBorder="1"/>
    <xf numFmtId="43" fontId="0" fillId="0" borderId="0" xfId="1" applyFont="1" applyBorder="1"/>
    <xf numFmtId="43" fontId="0" fillId="0" borderId="0" xfId="0" applyNumberFormat="1" applyBorder="1"/>
    <xf numFmtId="43" fontId="0" fillId="0" borderId="5" xfId="0" applyNumberFormat="1" applyBorder="1"/>
    <xf numFmtId="0" fontId="0" fillId="0" borderId="6" xfId="0" applyBorder="1"/>
    <xf numFmtId="0" fontId="0" fillId="0" borderId="9" xfId="0" applyBorder="1"/>
    <xf numFmtId="43" fontId="0" fillId="0" borderId="9" xfId="1" applyFont="1" applyBorder="1"/>
    <xf numFmtId="43" fontId="0" fillId="0" borderId="9" xfId="0" applyNumberFormat="1" applyBorder="1"/>
    <xf numFmtId="43" fontId="0" fillId="0" borderId="10" xfId="1" applyFont="1" applyBorder="1"/>
    <xf numFmtId="43" fontId="0" fillId="0" borderId="11" xfId="1" applyFont="1" applyBorder="1"/>
    <xf numFmtId="0" fontId="0" fillId="0" borderId="11" xfId="0" applyBorder="1"/>
    <xf numFmtId="43" fontId="0" fillId="0" borderId="11" xfId="0" applyNumberFormat="1" applyBorder="1"/>
    <xf numFmtId="0" fontId="2" fillId="0" borderId="10" xfId="0" applyFont="1" applyBorder="1"/>
    <xf numFmtId="0" fontId="2" fillId="0" borderId="11" xfId="0" applyFont="1" applyBorder="1"/>
    <xf numFmtId="0" fontId="2" fillId="0" borderId="11" xfId="0" applyFont="1" applyBorder="1" applyAlignment="1">
      <alignment wrapText="1"/>
    </xf>
    <xf numFmtId="0" fontId="2" fillId="0" borderId="12" xfId="0" applyFont="1" applyBorder="1" applyAlignment="1">
      <alignment wrapText="1"/>
    </xf>
    <xf numFmtId="0" fontId="0" fillId="0" borderId="15" xfId="0" applyBorder="1"/>
    <xf numFmtId="0" fontId="2" fillId="0" borderId="1" xfId="0" applyFont="1" applyBorder="1"/>
    <xf numFmtId="0" fontId="2" fillId="0" borderId="14" xfId="0" applyFont="1" applyBorder="1"/>
    <xf numFmtId="0" fontId="2" fillId="0" borderId="15" xfId="0" applyFont="1" applyBorder="1"/>
    <xf numFmtId="9" fontId="0" fillId="0" borderId="8" xfId="2" applyFont="1" applyBorder="1"/>
    <xf numFmtId="9" fontId="0" fillId="0" borderId="0" xfId="2" applyFont="1" applyBorder="1"/>
    <xf numFmtId="9" fontId="0" fillId="0" borderId="9" xfId="2" applyFont="1" applyBorder="1"/>
    <xf numFmtId="0" fontId="2" fillId="0" borderId="13" xfId="0" applyFont="1" applyBorder="1"/>
    <xf numFmtId="0" fontId="2" fillId="0" borderId="0" xfId="0" applyFont="1" applyFill="1" applyBorder="1"/>
    <xf numFmtId="0" fontId="2" fillId="0" borderId="9" xfId="0" applyFont="1" applyBorder="1" applyAlignment="1">
      <alignment wrapText="1"/>
    </xf>
    <xf numFmtId="0" fontId="0" fillId="0" borderId="0" xfId="0" applyFill="1" applyBorder="1"/>
    <xf numFmtId="0" fontId="2" fillId="0" borderId="10" xfId="0" applyFont="1" applyBorder="1" applyAlignment="1">
      <alignment wrapText="1"/>
    </xf>
    <xf numFmtId="168" fontId="0" fillId="0" borderId="9" xfId="0" applyNumberFormat="1" applyFill="1" applyBorder="1"/>
    <xf numFmtId="0" fontId="0" fillId="3" borderId="6" xfId="0" applyFill="1" applyBorder="1"/>
    <xf numFmtId="0" fontId="0" fillId="3" borderId="9" xfId="0" applyFill="1" applyBorder="1"/>
    <xf numFmtId="0" fontId="0" fillId="3" borderId="7" xfId="0" applyFill="1" applyBorder="1"/>
    <xf numFmtId="0" fontId="0" fillId="4" borderId="6" xfId="0" applyFill="1" applyBorder="1"/>
    <xf numFmtId="0" fontId="0" fillId="4" borderId="9" xfId="0" applyFill="1" applyBorder="1"/>
    <xf numFmtId="0" fontId="0" fillId="4" borderId="7" xfId="0" applyFill="1" applyBorder="1"/>
    <xf numFmtId="0" fontId="2" fillId="5" borderId="14" xfId="0" applyFont="1" applyFill="1" applyBorder="1"/>
    <xf numFmtId="43" fontId="0" fillId="5" borderId="4" xfId="1" applyFont="1" applyFill="1" applyBorder="1"/>
    <xf numFmtId="43" fontId="0" fillId="5" borderId="0" xfId="1" applyFont="1" applyFill="1" applyBorder="1"/>
    <xf numFmtId="0" fontId="0" fillId="5" borderId="0" xfId="0" applyFill="1" applyBorder="1"/>
    <xf numFmtId="43" fontId="0" fillId="5" borderId="0" xfId="0" applyNumberFormat="1" applyFill="1" applyBorder="1"/>
    <xf numFmtId="43" fontId="0" fillId="5" borderId="5" xfId="0" applyNumberFormat="1" applyFill="1" applyBorder="1"/>
    <xf numFmtId="0" fontId="0" fillId="0" borderId="0" xfId="0" applyBorder="1" applyAlignment="1">
      <alignment horizontal="center" vertical="center"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12" xfId="0" applyFont="1" applyBorder="1" applyAlignment="1">
      <alignment horizontal="left" vertical="top" wrapText="1"/>
    </xf>
    <xf numFmtId="0" fontId="2" fillId="0" borderId="11" xfId="0" applyFont="1" applyBorder="1" applyAlignment="1">
      <alignment horizontal="left" vertical="top"/>
    </xf>
    <xf numFmtId="0" fontId="0" fillId="0" borderId="9" xfId="0" applyBorder="1" applyAlignment="1">
      <alignment horizontal="left" vertical="top" wrapText="1"/>
    </xf>
    <xf numFmtId="0" fontId="2" fillId="0" borderId="10" xfId="0" applyFont="1" applyBorder="1" applyAlignment="1">
      <alignment horizontal="left" vertical="top"/>
    </xf>
    <xf numFmtId="0" fontId="2" fillId="0" borderId="12" xfId="0" applyFont="1" applyBorder="1" applyAlignment="1">
      <alignment horizontal="left" vertical="top"/>
    </xf>
    <xf numFmtId="2" fontId="0" fillId="0" borderId="15" xfId="0" applyNumberFormat="1" applyBorder="1"/>
    <xf numFmtId="9" fontId="0" fillId="0" borderId="15" xfId="0" applyNumberFormat="1" applyBorder="1"/>
    <xf numFmtId="0" fontId="2" fillId="0" borderId="17" xfId="0" applyFont="1" applyBorder="1"/>
    <xf numFmtId="43" fontId="2" fillId="2" borderId="18" xfId="0" applyNumberFormat="1" applyFont="1" applyFill="1" applyBorder="1"/>
    <xf numFmtId="43" fontId="0" fillId="0" borderId="0" xfId="0" applyNumberFormat="1" applyFill="1" applyBorder="1"/>
    <xf numFmtId="43" fontId="0" fillId="3" borderId="16" xfId="0" applyNumberFormat="1" applyFill="1" applyBorder="1"/>
    <xf numFmtId="0" fontId="2" fillId="0" borderId="5" xfId="0" applyFont="1" applyBorder="1" applyAlignment="1">
      <alignment wrapText="1"/>
    </xf>
    <xf numFmtId="43" fontId="0" fillId="4" borderId="16" xfId="0" applyNumberFormat="1" applyFill="1" applyBorder="1"/>
    <xf numFmtId="0" fontId="2" fillId="0" borderId="17" xfId="0" applyFont="1" applyBorder="1" applyAlignment="1">
      <alignment horizontal="center" vertical="center" wrapText="1"/>
    </xf>
    <xf numFmtId="43" fontId="2" fillId="6" borderId="18" xfId="0" applyNumberFormat="1" applyFont="1" applyFill="1" applyBorder="1" applyAlignment="1">
      <alignment horizontal="center" vertical="center"/>
    </xf>
    <xf numFmtId="0" fontId="2" fillId="0" borderId="13" xfId="0" applyFont="1" applyFill="1" applyBorder="1" applyAlignment="1">
      <alignment wrapText="1"/>
    </xf>
    <xf numFmtId="0" fontId="2" fillId="3" borderId="10" xfId="0" applyFont="1" applyFill="1" applyBorder="1" applyAlignment="1">
      <alignment horizontal="center"/>
    </xf>
    <xf numFmtId="0" fontId="2" fillId="3" borderId="11" xfId="0" applyFont="1" applyFill="1" applyBorder="1" applyAlignment="1">
      <alignment horizontal="center"/>
    </xf>
    <xf numFmtId="0" fontId="2" fillId="3" borderId="12" xfId="0" applyFont="1" applyFill="1" applyBorder="1" applyAlignment="1">
      <alignment horizontal="center"/>
    </xf>
    <xf numFmtId="0" fontId="2" fillId="4" borderId="10" xfId="0" applyFont="1" applyFill="1" applyBorder="1" applyAlignment="1">
      <alignment horizontal="center" wrapText="1"/>
    </xf>
    <xf numFmtId="0" fontId="2" fillId="4" borderId="11" xfId="0" applyFont="1" applyFill="1" applyBorder="1" applyAlignment="1">
      <alignment horizontal="center" wrapText="1"/>
    </xf>
    <xf numFmtId="0" fontId="2" fillId="4" borderId="12" xfId="0" applyFont="1" applyFill="1" applyBorder="1" applyAlignment="1">
      <alignment horizontal="center" wrapText="1"/>
    </xf>
    <xf numFmtId="0" fontId="2" fillId="3" borderId="2" xfId="0" applyFont="1" applyFill="1" applyBorder="1"/>
    <xf numFmtId="0" fontId="2" fillId="3" borderId="8" xfId="0" applyFont="1" applyFill="1" applyBorder="1"/>
    <xf numFmtId="0" fontId="2" fillId="3" borderId="3" xfId="0" applyFont="1" applyFill="1" applyBorder="1"/>
    <xf numFmtId="0" fontId="2" fillId="4" borderId="2" xfId="0" applyFont="1" applyFill="1" applyBorder="1"/>
    <xf numFmtId="0" fontId="2" fillId="4" borderId="8" xfId="0" applyFont="1" applyFill="1" applyBorder="1"/>
    <xf numFmtId="0" fontId="2" fillId="4" borderId="3" xfId="0" applyFont="1" applyFill="1" applyBorder="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83416-CA72-40D6-ACE1-9E5D9BF6C918}">
  <dimension ref="A1:A36"/>
  <sheetViews>
    <sheetView workbookViewId="0">
      <selection activeCell="B21" sqref="B21"/>
    </sheetView>
  </sheetViews>
  <sheetFormatPr defaultRowHeight="15" x14ac:dyDescent="0.2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s="1" t="s">
        <v>7</v>
      </c>
    </row>
    <row r="8" spans="1:1" x14ac:dyDescent="0.25">
      <c r="A8" t="s">
        <v>6</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s="2" t="s">
        <v>16</v>
      </c>
    </row>
    <row r="19" spans="1:1" x14ac:dyDescent="0.25">
      <c r="A19" s="1" t="s">
        <v>17</v>
      </c>
    </row>
    <row r="20" spans="1:1" x14ac:dyDescent="0.25">
      <c r="A20" t="s">
        <v>18</v>
      </c>
    </row>
    <row r="21" spans="1:1" x14ac:dyDescent="0.25">
      <c r="A21" t="s">
        <v>19</v>
      </c>
    </row>
    <row r="22" spans="1:1" x14ac:dyDescent="0.25">
      <c r="A22" t="s">
        <v>20</v>
      </c>
    </row>
    <row r="23" spans="1:1" x14ac:dyDescent="0.25">
      <c r="A23" t="s">
        <v>21</v>
      </c>
    </row>
    <row r="24" spans="1:1" x14ac:dyDescent="0.25">
      <c r="A24" t="s">
        <v>22</v>
      </c>
    </row>
    <row r="25" spans="1:1" x14ac:dyDescent="0.25">
      <c r="A25" t="s">
        <v>23</v>
      </c>
    </row>
    <row r="26" spans="1:1" x14ac:dyDescent="0.25">
      <c r="A26" t="s">
        <v>24</v>
      </c>
    </row>
    <row r="27" spans="1:1" x14ac:dyDescent="0.25">
      <c r="A27" t="s">
        <v>25</v>
      </c>
    </row>
    <row r="28" spans="1:1" x14ac:dyDescent="0.25">
      <c r="A28" s="1" t="s">
        <v>26</v>
      </c>
    </row>
    <row r="29" spans="1:1" x14ac:dyDescent="0.25">
      <c r="A29" t="s">
        <v>27</v>
      </c>
    </row>
    <row r="30" spans="1:1" x14ac:dyDescent="0.25">
      <c r="A30" s="3" t="s">
        <v>28</v>
      </c>
    </row>
    <row r="31" spans="1:1" x14ac:dyDescent="0.25">
      <c r="A31" s="3"/>
    </row>
    <row r="32" spans="1:1" x14ac:dyDescent="0.25">
      <c r="A32" s="1" t="s">
        <v>39</v>
      </c>
    </row>
    <row r="33" spans="1:1" x14ac:dyDescent="0.25">
      <c r="A33" t="s">
        <v>38</v>
      </c>
    </row>
    <row r="34" spans="1:1" x14ac:dyDescent="0.25">
      <c r="A34" t="s">
        <v>40</v>
      </c>
    </row>
    <row r="35" spans="1:1" x14ac:dyDescent="0.25">
      <c r="A35" t="s">
        <v>41</v>
      </c>
    </row>
    <row r="36" spans="1:1" x14ac:dyDescent="0.25">
      <c r="A36" t="s">
        <v>44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09FD2-7FE2-47EF-9E21-2B4C24ECEAB1}">
  <dimension ref="B2:K21"/>
  <sheetViews>
    <sheetView workbookViewId="0">
      <selection activeCell="I5" sqref="I5"/>
    </sheetView>
  </sheetViews>
  <sheetFormatPr defaultRowHeight="15" x14ac:dyDescent="0.25"/>
  <cols>
    <col min="2" max="2" width="3.5703125" customWidth="1"/>
    <col min="4" max="4" width="89.85546875" bestFit="1" customWidth="1"/>
    <col min="6" max="6" width="26.85546875" bestFit="1" customWidth="1"/>
    <col min="7" max="7" width="9.85546875" bestFit="1" customWidth="1"/>
    <col min="8" max="8" width="12" bestFit="1" customWidth="1"/>
    <col min="9" max="9" width="15.42578125" bestFit="1" customWidth="1"/>
  </cols>
  <sheetData>
    <row r="2" spans="2:11" x14ac:dyDescent="0.25">
      <c r="F2" t="s">
        <v>34</v>
      </c>
      <c r="G2" t="s">
        <v>35</v>
      </c>
      <c r="H2" t="s">
        <v>36</v>
      </c>
      <c r="I2" t="s">
        <v>37</v>
      </c>
      <c r="J2" t="s">
        <v>42</v>
      </c>
      <c r="K2" t="s">
        <v>43</v>
      </c>
    </row>
    <row r="3" spans="2:11" x14ac:dyDescent="0.25">
      <c r="C3" s="4">
        <v>37803</v>
      </c>
      <c r="D3" t="s">
        <v>29</v>
      </c>
      <c r="F3" s="1">
        <v>24</v>
      </c>
      <c r="G3">
        <v>9.5</v>
      </c>
      <c r="H3" s="1">
        <v>10.9</v>
      </c>
      <c r="I3">
        <v>9.5</v>
      </c>
      <c r="J3" s="1">
        <v>7</v>
      </c>
      <c r="K3">
        <f>G3*0.11</f>
        <v>1.0449999999999999</v>
      </c>
    </row>
    <row r="4" spans="2:11" x14ac:dyDescent="0.25">
      <c r="C4" s="4">
        <v>37834</v>
      </c>
      <c r="D4" t="s">
        <v>29</v>
      </c>
      <c r="G4">
        <v>2.4</v>
      </c>
      <c r="I4">
        <v>2.64</v>
      </c>
    </row>
    <row r="5" spans="2:11" x14ac:dyDescent="0.25">
      <c r="C5" s="4">
        <v>37865</v>
      </c>
      <c r="D5" t="s">
        <v>29</v>
      </c>
      <c r="G5" s="1">
        <f>SUM(G3:G4)</f>
        <v>11.9</v>
      </c>
      <c r="I5" s="1">
        <f>SUM(I3:I4)</f>
        <v>12.14</v>
      </c>
    </row>
    <row r="6" spans="2:11" x14ac:dyDescent="0.25">
      <c r="C6" s="4">
        <v>37895</v>
      </c>
      <c r="D6" t="s">
        <v>29</v>
      </c>
    </row>
    <row r="7" spans="2:11" x14ac:dyDescent="0.25">
      <c r="C7" s="4">
        <v>37926</v>
      </c>
    </row>
    <row r="8" spans="2:11" x14ac:dyDescent="0.25">
      <c r="C8" s="4">
        <v>37956</v>
      </c>
    </row>
    <row r="9" spans="2:11" x14ac:dyDescent="0.25">
      <c r="C9" s="4">
        <v>37987</v>
      </c>
      <c r="D9" t="s">
        <v>30</v>
      </c>
    </row>
    <row r="10" spans="2:11" x14ac:dyDescent="0.25">
      <c r="C10" s="4">
        <v>38018</v>
      </c>
      <c r="D10" t="s">
        <v>30</v>
      </c>
    </row>
    <row r="11" spans="2:11" x14ac:dyDescent="0.25">
      <c r="B11" s="5" t="s">
        <v>33</v>
      </c>
      <c r="C11" s="6">
        <v>38047</v>
      </c>
      <c r="D11" t="s">
        <v>31</v>
      </c>
    </row>
    <row r="12" spans="2:11" x14ac:dyDescent="0.25">
      <c r="B12" s="7"/>
      <c r="C12" s="8">
        <v>38078</v>
      </c>
      <c r="D12" t="s">
        <v>32</v>
      </c>
    </row>
    <row r="13" spans="2:11" x14ac:dyDescent="0.25">
      <c r="B13" s="7"/>
      <c r="C13" s="8">
        <v>38108</v>
      </c>
      <c r="D13" t="s">
        <v>30</v>
      </c>
    </row>
    <row r="14" spans="2:11" x14ac:dyDescent="0.25">
      <c r="B14" s="9"/>
      <c r="C14" s="10">
        <v>38139</v>
      </c>
      <c r="D14" t="s">
        <v>30</v>
      </c>
    </row>
    <row r="15" spans="2:11" x14ac:dyDescent="0.25">
      <c r="C15" s="4">
        <v>38169</v>
      </c>
    </row>
    <row r="16" spans="2:11" x14ac:dyDescent="0.25">
      <c r="C16" s="4">
        <v>38200</v>
      </c>
    </row>
    <row r="17" spans="3:3" x14ac:dyDescent="0.25">
      <c r="C17" s="4">
        <v>38231</v>
      </c>
    </row>
    <row r="18" spans="3:3" x14ac:dyDescent="0.25">
      <c r="C18" s="4">
        <v>38261</v>
      </c>
    </row>
    <row r="19" spans="3:3" x14ac:dyDescent="0.25">
      <c r="C19" s="4">
        <v>38292</v>
      </c>
    </row>
    <row r="20" spans="3:3" x14ac:dyDescent="0.25">
      <c r="C20" s="4">
        <v>38322</v>
      </c>
    </row>
    <row r="21" spans="3:3" x14ac:dyDescent="0.25">
      <c r="C21" s="4">
        <v>38353</v>
      </c>
    </row>
  </sheetData>
  <mergeCells count="1">
    <mergeCell ref="B11:B14"/>
  </mergeCells>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0C28B-8D33-4700-8EEC-AE2BA966E825}">
  <dimension ref="A1:T61"/>
  <sheetViews>
    <sheetView showGridLines="0" tabSelected="1" zoomScaleNormal="100" workbookViewId="0">
      <selection activeCell="N45" sqref="N45"/>
    </sheetView>
  </sheetViews>
  <sheetFormatPr defaultRowHeight="15" x14ac:dyDescent="0.25"/>
  <cols>
    <col min="1" max="1" width="3.42578125" bestFit="1" customWidth="1"/>
    <col min="2" max="2" width="13.140625" bestFit="1" customWidth="1"/>
    <col min="3" max="3" width="10.5703125" bestFit="1" customWidth="1"/>
    <col min="4" max="4" width="13.42578125" bestFit="1" customWidth="1"/>
    <col min="5" max="5" width="15.42578125" bestFit="1" customWidth="1"/>
    <col min="6" max="7" width="12" bestFit="1" customWidth="1"/>
    <col min="8" max="8" width="12" customWidth="1"/>
    <col min="9" max="9" width="10.5703125" bestFit="1" customWidth="1"/>
    <col min="10" max="10" width="13.42578125" bestFit="1" customWidth="1"/>
    <col min="11" max="11" width="15.42578125" bestFit="1" customWidth="1"/>
    <col min="12" max="12" width="11.5703125" bestFit="1" customWidth="1"/>
    <col min="13" max="13" width="12.85546875" bestFit="1" customWidth="1"/>
    <col min="14" max="14" width="10.5703125" bestFit="1" customWidth="1"/>
    <col min="15" max="15" width="11.5703125" bestFit="1" customWidth="1"/>
  </cols>
  <sheetData>
    <row r="1" spans="2:13" x14ac:dyDescent="0.25">
      <c r="B1" s="1" t="s">
        <v>91</v>
      </c>
    </row>
    <row r="2" spans="2:13" x14ac:dyDescent="0.25">
      <c r="B2" s="1" t="s">
        <v>92</v>
      </c>
    </row>
    <row r="3" spans="2:13" ht="4.5" customHeight="1" x14ac:dyDescent="0.25"/>
    <row r="4" spans="2:13" ht="27" customHeight="1" x14ac:dyDescent="0.25">
      <c r="B4" s="87" t="s">
        <v>84</v>
      </c>
      <c r="C4" s="88"/>
      <c r="D4" s="88"/>
      <c r="E4" s="88"/>
      <c r="F4" s="88"/>
      <c r="G4" s="89"/>
      <c r="H4" s="90" t="s">
        <v>85</v>
      </c>
      <c r="I4" s="91"/>
      <c r="J4" s="91"/>
      <c r="K4" s="91"/>
      <c r="L4" s="91"/>
      <c r="M4" s="92"/>
    </row>
    <row r="5" spans="2:13" x14ac:dyDescent="0.25">
      <c r="B5" s="93" t="s">
        <v>55</v>
      </c>
      <c r="C5" s="94" t="s">
        <v>56</v>
      </c>
      <c r="D5" s="94" t="s">
        <v>57</v>
      </c>
      <c r="E5" s="94" t="s">
        <v>58</v>
      </c>
      <c r="F5" s="94" t="s">
        <v>59</v>
      </c>
      <c r="G5" s="95" t="s">
        <v>60</v>
      </c>
      <c r="H5" s="96" t="s">
        <v>55</v>
      </c>
      <c r="I5" s="97" t="s">
        <v>56</v>
      </c>
      <c r="J5" s="97" t="s">
        <v>57</v>
      </c>
      <c r="K5" s="97" t="s">
        <v>58</v>
      </c>
      <c r="L5" s="97" t="s">
        <v>59</v>
      </c>
      <c r="M5" s="98" t="s">
        <v>60</v>
      </c>
    </row>
    <row r="6" spans="2:13" x14ac:dyDescent="0.25">
      <c r="B6" s="56">
        <v>24</v>
      </c>
      <c r="C6" s="57">
        <v>10.9</v>
      </c>
      <c r="D6" s="57">
        <v>7</v>
      </c>
      <c r="E6" s="57">
        <f>B6-C6</f>
        <v>13.1</v>
      </c>
      <c r="F6" s="57">
        <f>C6-D6</f>
        <v>3.9000000000000004</v>
      </c>
      <c r="G6" s="58">
        <f>E6/(E6+F6)</f>
        <v>0.77058823529411757</v>
      </c>
      <c r="H6" s="59">
        <v>24</v>
      </c>
      <c r="I6" s="60">
        <v>12.14</v>
      </c>
      <c r="J6" s="60">
        <v>7</v>
      </c>
      <c r="K6" s="60">
        <f>H6-I6</f>
        <v>11.86</v>
      </c>
      <c r="L6" s="60">
        <f>I6-J6</f>
        <v>5.1400000000000006</v>
      </c>
      <c r="M6" s="61">
        <f>K6/(K6+L6)</f>
        <v>0.6976470588235294</v>
      </c>
    </row>
    <row r="7" spans="2:13" ht="30.75" thickBot="1" x14ac:dyDescent="0.3">
      <c r="C7" s="39" t="s">
        <v>52</v>
      </c>
      <c r="D7" s="40" t="s">
        <v>53</v>
      </c>
      <c r="E7" s="40" t="s">
        <v>68</v>
      </c>
      <c r="F7" s="40" t="s">
        <v>62</v>
      </c>
      <c r="G7" s="40" t="s">
        <v>63</v>
      </c>
      <c r="H7" s="52" t="s">
        <v>64</v>
      </c>
      <c r="I7" s="52" t="s">
        <v>65</v>
      </c>
      <c r="J7" s="52" t="s">
        <v>66</v>
      </c>
      <c r="K7" s="52" t="s">
        <v>67</v>
      </c>
      <c r="L7" s="82" t="s">
        <v>69</v>
      </c>
    </row>
    <row r="8" spans="2:13" ht="15.75" thickBot="1" x14ac:dyDescent="0.3">
      <c r="B8" s="44" t="s">
        <v>54</v>
      </c>
      <c r="C8" s="35">
        <v>87680</v>
      </c>
      <c r="D8" s="36">
        <v>19211</v>
      </c>
      <c r="E8" s="36">
        <f>_xlfn.NORM.INV($M$6,C8,D8)</f>
        <v>97624.480748744303</v>
      </c>
      <c r="F8" s="37">
        <f>(E8-C8)/D8</f>
        <v>0.51764513813670832</v>
      </c>
      <c r="G8" s="38">
        <f>_xlfn.NORM.DIST(F8,0,1,0)-F8*(1-_xlfn.NORM.DIST(F8,0,1,1))</f>
        <v>0.19240701559642365</v>
      </c>
      <c r="H8" s="37">
        <f>G8*D8</f>
        <v>3696.3311766228949</v>
      </c>
      <c r="I8" s="38">
        <f>C8-H8</f>
        <v>83983.668823377098</v>
      </c>
      <c r="J8" s="38">
        <f>E8-I8</f>
        <v>13640.811925367205</v>
      </c>
      <c r="K8" s="38">
        <f>H8*$K$6+J8*$L$6</f>
        <v>113952.26105113498</v>
      </c>
      <c r="L8" s="83">
        <f>C8*($B$6-11.9)-K8</f>
        <v>946975.73894886498</v>
      </c>
    </row>
    <row r="9" spans="2:13" ht="9" customHeight="1" x14ac:dyDescent="0.25">
      <c r="B9" s="62"/>
      <c r="C9" s="63"/>
      <c r="D9" s="64"/>
      <c r="E9" s="64"/>
      <c r="F9" s="65"/>
      <c r="G9" s="66"/>
      <c r="H9" s="65"/>
      <c r="I9" s="66"/>
      <c r="J9" s="66"/>
      <c r="K9" s="66"/>
      <c r="L9" s="67"/>
    </row>
    <row r="10" spans="2:13" x14ac:dyDescent="0.25">
      <c r="B10" s="45" t="s">
        <v>46</v>
      </c>
      <c r="C10" s="26">
        <v>30763</v>
      </c>
      <c r="D10" s="27">
        <v>13843</v>
      </c>
      <c r="E10" s="28">
        <f>_xlfn.NORM.INV($G$6,C10,D10)</f>
        <v>41017.693194822714</v>
      </c>
      <c r="F10" s="27">
        <f>(E10-C10)/D10</f>
        <v>0.74078546520427035</v>
      </c>
      <c r="G10" s="29">
        <f t="shared" ref="G10:G16" si="0">_xlfn.NORM.DIST(F10,0,1,0)-F10*(1-_xlfn.NORM.DIST(F10,0,1,1))</f>
        <v>0.13326799734314346</v>
      </c>
      <c r="H10" s="27">
        <f>G10*D10</f>
        <v>1844.8288872211349</v>
      </c>
      <c r="I10" s="29">
        <f>C10-H10</f>
        <v>28918.171112778866</v>
      </c>
      <c r="J10" s="29">
        <f>E10-I10</f>
        <v>12099.522082043848</v>
      </c>
      <c r="K10" s="29">
        <f>H10*$E$6+J10*$F$6</f>
        <v>71355.394542567868</v>
      </c>
      <c r="L10" s="30">
        <f>C10*($B$6-$C$6)-K10</f>
        <v>331639.90545743215</v>
      </c>
    </row>
    <row r="11" spans="2:13" x14ac:dyDescent="0.25">
      <c r="B11" s="45" t="s">
        <v>47</v>
      </c>
      <c r="C11" s="26">
        <v>10569</v>
      </c>
      <c r="D11" s="27">
        <v>4756</v>
      </c>
      <c r="E11" s="28">
        <f>_xlfn.NORM.INV($G$6,C11,D11)</f>
        <v>14092.175672511508</v>
      </c>
      <c r="F11" s="27">
        <f>(E11-C11)/D11</f>
        <v>0.74078546520427002</v>
      </c>
      <c r="G11" s="29">
        <f t="shared" si="0"/>
        <v>0.1332679973431434</v>
      </c>
      <c r="H11" s="27">
        <f>G11*D11</f>
        <v>633.82259536398999</v>
      </c>
      <c r="I11" s="29">
        <f>C11-H11</f>
        <v>9935.1774046360097</v>
      </c>
      <c r="J11" s="29">
        <f>E11-I11</f>
        <v>4156.9982678754986</v>
      </c>
      <c r="K11" s="29">
        <f>H11*$E$6+J11*$F$6</f>
        <v>24515.369243982714</v>
      </c>
      <c r="L11" s="30">
        <f>C11*($B$6-$C$6)-K11</f>
        <v>113938.53075601728</v>
      </c>
    </row>
    <row r="12" spans="2:13" x14ac:dyDescent="0.25">
      <c r="B12" s="45" t="s">
        <v>45</v>
      </c>
      <c r="C12" s="26">
        <v>8159</v>
      </c>
      <c r="D12" s="27">
        <v>3671</v>
      </c>
      <c r="E12" s="28">
        <f>_xlfn.NORM.INV($G$6,C12,D12)</f>
        <v>10878.423442764875</v>
      </c>
      <c r="F12" s="27">
        <f>(E12-C12)/D12</f>
        <v>0.74078546520427002</v>
      </c>
      <c r="G12" s="29">
        <f t="shared" si="0"/>
        <v>0.1332679973431434</v>
      </c>
      <c r="H12" s="27">
        <f>G12*D12</f>
        <v>489.22681824667944</v>
      </c>
      <c r="I12" s="29">
        <f>C12-H12</f>
        <v>7669.7731817533204</v>
      </c>
      <c r="J12" s="29">
        <f>E12-I12</f>
        <v>3208.6502610115549</v>
      </c>
      <c r="K12" s="29">
        <f>H12*$E$6+J12*$F$6</f>
        <v>18922.607336976565</v>
      </c>
      <c r="L12" s="30">
        <f>C12*($B$6-$C$6)-K12</f>
        <v>87960.292663023429</v>
      </c>
    </row>
    <row r="13" spans="2:13" x14ac:dyDescent="0.25">
      <c r="B13" s="45" t="s">
        <v>48</v>
      </c>
      <c r="C13" s="26">
        <v>7270</v>
      </c>
      <c r="D13" s="27">
        <v>4362</v>
      </c>
      <c r="E13" s="28">
        <f>_xlfn.NORM.INV($G$6,C13,D13)</f>
        <v>10501.306199221026</v>
      </c>
      <c r="F13" s="27">
        <f>(E13-C13)/D13</f>
        <v>0.74078546520427002</v>
      </c>
      <c r="G13" s="29">
        <f t="shared" si="0"/>
        <v>0.1332679973431434</v>
      </c>
      <c r="H13" s="27">
        <f>G13*D13</f>
        <v>581.31500441079152</v>
      </c>
      <c r="I13" s="29">
        <f>C13-H13</f>
        <v>6688.6849955892085</v>
      </c>
      <c r="J13" s="29">
        <f>E13-I13</f>
        <v>3812.6212036318175</v>
      </c>
      <c r="K13" s="29">
        <f>H13*$E$6+J13*$F$6</f>
        <v>22484.449251945458</v>
      </c>
      <c r="L13" s="30">
        <f>C13*($B$6-$C$6)-K13</f>
        <v>72752.550748054549</v>
      </c>
    </row>
    <row r="14" spans="2:13" x14ac:dyDescent="0.25">
      <c r="B14" s="45" t="s">
        <v>49</v>
      </c>
      <c r="C14" s="26">
        <v>5526</v>
      </c>
      <c r="D14" s="27">
        <v>3316</v>
      </c>
      <c r="E14" s="28">
        <f>_xlfn.NORM.INV($G$6,C14,D14)</f>
        <v>7982.4446026173591</v>
      </c>
      <c r="F14" s="27">
        <f>(E14-C14)/D14</f>
        <v>0.74078546520426991</v>
      </c>
      <c r="G14" s="29">
        <f t="shared" si="0"/>
        <v>0.13326799734314351</v>
      </c>
      <c r="H14" s="27">
        <f>G14*D14</f>
        <v>441.91667918986388</v>
      </c>
      <c r="I14" s="29">
        <f>C14-H14</f>
        <v>5084.0833208101358</v>
      </c>
      <c r="J14" s="29">
        <f>E14-I14</f>
        <v>2898.3612818072233</v>
      </c>
      <c r="K14" s="29">
        <f>H14*$E$6+J14*$F$6</f>
        <v>17092.717496435391</v>
      </c>
      <c r="L14" s="30">
        <f>C14*($B$6-$C$6)-K14</f>
        <v>55297.8825035646</v>
      </c>
    </row>
    <row r="15" spans="2:13" x14ac:dyDescent="0.25">
      <c r="B15" s="45" t="s">
        <v>50</v>
      </c>
      <c r="C15" s="26">
        <v>2118</v>
      </c>
      <c r="D15" s="27">
        <v>1271</v>
      </c>
      <c r="E15" s="28">
        <f>_xlfn.NORM.INV($G$6,C15,D15)</f>
        <v>3059.5383262746273</v>
      </c>
      <c r="F15" s="27">
        <f>(E15-C15)/D15</f>
        <v>0.74078546520427002</v>
      </c>
      <c r="G15" s="29">
        <f t="shared" si="0"/>
        <v>0.1332679973431434</v>
      </c>
      <c r="H15" s="27">
        <f>G15*D15</f>
        <v>169.38362462313526</v>
      </c>
      <c r="I15" s="29">
        <f>C15-H15</f>
        <v>1948.6163753768647</v>
      </c>
      <c r="J15" s="29">
        <f>E15-I15</f>
        <v>1110.9219508977626</v>
      </c>
      <c r="K15" s="29">
        <f>H15*$E$6+J15*$F$6</f>
        <v>6551.5210910643473</v>
      </c>
      <c r="L15" s="30">
        <f>C15*($B$6-$C$6)-K15</f>
        <v>21194.278908935652</v>
      </c>
    </row>
    <row r="16" spans="2:13" ht="15.75" thickBot="1" x14ac:dyDescent="0.3">
      <c r="B16" s="46" t="s">
        <v>51</v>
      </c>
      <c r="C16" s="31">
        <v>23275</v>
      </c>
      <c r="D16" s="32">
        <v>10474</v>
      </c>
      <c r="E16" s="33">
        <f>_xlfn.NORM.INV($M$6,C16,D16)</f>
        <v>28696.815176843884</v>
      </c>
      <c r="F16" s="32">
        <f>(E16-C16)/D16</f>
        <v>0.51764513813670843</v>
      </c>
      <c r="G16" s="34">
        <f t="shared" si="0"/>
        <v>0.19240701559642362</v>
      </c>
      <c r="H16" s="34">
        <f>G16*D16</f>
        <v>2015.2710813569411</v>
      </c>
      <c r="I16" s="34">
        <f>C16-H16</f>
        <v>21259.728918643057</v>
      </c>
      <c r="J16" s="34">
        <f>E16-I16</f>
        <v>7437.0862582008267</v>
      </c>
      <c r="K16" s="34">
        <f>H16*$E$6+J16*$F$6</f>
        <v>55404.687572759154</v>
      </c>
      <c r="L16" s="30">
        <f>C16*($B$6-$C$6)-K16</f>
        <v>249497.81242724083</v>
      </c>
    </row>
    <row r="17" spans="1:20" ht="15.75" thickBot="1" x14ac:dyDescent="0.3">
      <c r="L17" s="81">
        <f>SUM(L10:L16)</f>
        <v>932281.25346426852</v>
      </c>
    </row>
    <row r="18" spans="1:20" ht="15.75" thickBot="1" x14ac:dyDescent="0.3">
      <c r="L18" s="80"/>
      <c r="M18" s="27"/>
    </row>
    <row r="19" spans="1:20" ht="60.75" thickBot="1" x14ac:dyDescent="0.3">
      <c r="K19" s="84" t="s">
        <v>89</v>
      </c>
      <c r="L19" s="85">
        <f>L8-L17</f>
        <v>14694.485484596458</v>
      </c>
    </row>
    <row r="20" spans="1:20" x14ac:dyDescent="0.25">
      <c r="K20" s="68"/>
      <c r="L20" s="29"/>
    </row>
    <row r="21" spans="1:20" x14ac:dyDescent="0.25">
      <c r="A21" s="1" t="s">
        <v>79</v>
      </c>
      <c r="B21" s="74" t="s">
        <v>61</v>
      </c>
      <c r="C21" s="72"/>
      <c r="D21" s="72"/>
      <c r="E21" s="72"/>
      <c r="F21" s="72"/>
      <c r="G21" s="72"/>
      <c r="H21" s="72"/>
      <c r="I21" s="72"/>
      <c r="J21" s="72"/>
      <c r="K21" s="72"/>
      <c r="L21" s="72"/>
      <c r="M21" s="72"/>
      <c r="N21" s="72"/>
      <c r="O21" s="72"/>
      <c r="P21" s="72"/>
      <c r="Q21" s="72"/>
      <c r="R21" s="72"/>
      <c r="S21" s="72"/>
      <c r="T21" s="75"/>
    </row>
    <row r="22" spans="1:20" ht="20.25" customHeight="1" x14ac:dyDescent="0.25">
      <c r="B22" s="13" t="s">
        <v>93</v>
      </c>
      <c r="C22" s="14"/>
      <c r="D22" s="14"/>
      <c r="E22" s="14"/>
      <c r="F22" s="14"/>
      <c r="G22" s="14"/>
      <c r="H22" s="14"/>
      <c r="I22" s="14"/>
      <c r="J22" s="14"/>
      <c r="K22" s="14"/>
      <c r="L22" s="14"/>
      <c r="M22" s="14"/>
      <c r="N22" s="14"/>
      <c r="O22" s="14"/>
      <c r="P22" s="14"/>
      <c r="Q22" s="14"/>
      <c r="R22" s="14"/>
      <c r="S22" s="14"/>
      <c r="T22" s="15"/>
    </row>
    <row r="23" spans="1:20" ht="15" customHeight="1" x14ac:dyDescent="0.25">
      <c r="B23" s="16"/>
      <c r="C23" s="17"/>
      <c r="D23" s="17"/>
      <c r="E23" s="17"/>
      <c r="F23" s="17"/>
      <c r="G23" s="17"/>
      <c r="H23" s="17"/>
      <c r="I23" s="17"/>
      <c r="J23" s="17"/>
      <c r="K23" s="17"/>
      <c r="L23" s="17"/>
      <c r="M23" s="17"/>
      <c r="N23" s="17"/>
      <c r="O23" s="17"/>
      <c r="P23" s="17"/>
      <c r="Q23" s="17"/>
      <c r="R23" s="17"/>
      <c r="S23" s="17"/>
      <c r="T23" s="18"/>
    </row>
    <row r="24" spans="1:20" ht="20.25" customHeight="1" x14ac:dyDescent="0.25">
      <c r="B24" s="16"/>
      <c r="C24" s="17"/>
      <c r="D24" s="17"/>
      <c r="E24" s="17"/>
      <c r="F24" s="17"/>
      <c r="G24" s="17"/>
      <c r="H24" s="17"/>
      <c r="I24" s="17"/>
      <c r="J24" s="17"/>
      <c r="K24" s="17"/>
      <c r="L24" s="17"/>
      <c r="M24" s="17"/>
      <c r="N24" s="17"/>
      <c r="O24" s="17"/>
      <c r="P24" s="17"/>
      <c r="Q24" s="17"/>
      <c r="R24" s="17"/>
      <c r="S24" s="17"/>
      <c r="T24" s="18"/>
    </row>
    <row r="25" spans="1:20" ht="9" customHeight="1" x14ac:dyDescent="0.25">
      <c r="B25" s="19"/>
      <c r="C25" s="20"/>
      <c r="D25" s="20"/>
      <c r="E25" s="20"/>
      <c r="F25" s="20"/>
      <c r="G25" s="20"/>
      <c r="H25" s="20"/>
      <c r="I25" s="20"/>
      <c r="J25" s="20"/>
      <c r="K25" s="20"/>
      <c r="L25" s="20"/>
      <c r="M25" s="20"/>
      <c r="N25" s="20"/>
      <c r="O25" s="20"/>
      <c r="P25" s="20"/>
      <c r="Q25" s="20"/>
      <c r="R25" s="20"/>
      <c r="S25" s="20"/>
      <c r="T25" s="21"/>
    </row>
    <row r="26" spans="1:20" ht="20.25" customHeight="1" x14ac:dyDescent="0.25">
      <c r="B26" s="73"/>
      <c r="C26" s="73"/>
      <c r="D26" s="73"/>
      <c r="E26" s="73"/>
      <c r="F26" s="73"/>
      <c r="G26" s="73"/>
      <c r="H26" s="73"/>
      <c r="I26" s="73"/>
      <c r="J26" s="73"/>
      <c r="K26" s="73"/>
      <c r="L26" s="73"/>
      <c r="M26" s="73"/>
      <c r="N26" s="73"/>
      <c r="O26" s="73"/>
      <c r="P26" s="73"/>
      <c r="Q26" s="73"/>
      <c r="R26" s="73"/>
      <c r="S26" s="73"/>
      <c r="T26" s="73"/>
    </row>
    <row r="27" spans="1:20" x14ac:dyDescent="0.25">
      <c r="A27" s="1" t="s">
        <v>80</v>
      </c>
      <c r="B27" s="74" t="s">
        <v>70</v>
      </c>
      <c r="C27" s="72"/>
      <c r="D27" s="72"/>
      <c r="E27" s="72"/>
      <c r="F27" s="72"/>
      <c r="G27" s="72"/>
      <c r="H27" s="72"/>
      <c r="I27" s="72"/>
      <c r="J27" s="72"/>
      <c r="K27" s="72"/>
      <c r="L27" s="72"/>
      <c r="M27" s="72"/>
      <c r="N27" s="72"/>
      <c r="O27" s="72"/>
      <c r="P27" s="72"/>
      <c r="Q27" s="72"/>
      <c r="R27" s="72"/>
      <c r="S27" s="72"/>
      <c r="T27" s="75"/>
    </row>
    <row r="28" spans="1:20" ht="20.25" customHeight="1" x14ac:dyDescent="0.25">
      <c r="B28" s="13" t="s">
        <v>86</v>
      </c>
      <c r="C28" s="14"/>
      <c r="D28" s="14"/>
      <c r="E28" s="14"/>
      <c r="F28" s="14"/>
      <c r="G28" s="14"/>
      <c r="H28" s="14"/>
      <c r="I28" s="14"/>
      <c r="J28" s="14"/>
      <c r="K28" s="14"/>
      <c r="L28" s="14"/>
      <c r="M28" s="14"/>
      <c r="N28" s="14"/>
      <c r="O28" s="14"/>
      <c r="P28" s="14"/>
      <c r="Q28" s="14"/>
      <c r="R28" s="14"/>
      <c r="S28" s="14"/>
      <c r="T28" s="15"/>
    </row>
    <row r="29" spans="1:20" ht="22.5" customHeight="1" x14ac:dyDescent="0.25">
      <c r="B29" s="16"/>
      <c r="C29" s="17"/>
      <c r="D29" s="17"/>
      <c r="E29" s="17"/>
      <c r="F29" s="17"/>
      <c r="G29" s="17"/>
      <c r="H29" s="17"/>
      <c r="I29" s="17"/>
      <c r="J29" s="17"/>
      <c r="K29" s="17"/>
      <c r="L29" s="17"/>
      <c r="M29" s="17"/>
      <c r="N29" s="17"/>
      <c r="O29" s="17"/>
      <c r="P29" s="17"/>
      <c r="Q29" s="17"/>
      <c r="R29" s="17"/>
      <c r="S29" s="17"/>
      <c r="T29" s="18"/>
    </row>
    <row r="30" spans="1:20" ht="24" customHeight="1" x14ac:dyDescent="0.25">
      <c r="B30" s="19"/>
      <c r="C30" s="20"/>
      <c r="D30" s="20"/>
      <c r="E30" s="20"/>
      <c r="F30" s="20"/>
      <c r="G30" s="20"/>
      <c r="H30" s="20"/>
      <c r="I30" s="20"/>
      <c r="J30" s="20"/>
      <c r="K30" s="20"/>
      <c r="L30" s="20"/>
      <c r="M30" s="20"/>
      <c r="N30" s="20"/>
      <c r="O30" s="20"/>
      <c r="P30" s="20"/>
      <c r="Q30" s="20"/>
      <c r="R30" s="20"/>
      <c r="S30" s="20"/>
      <c r="T30" s="21"/>
    </row>
    <row r="32" spans="1:20" x14ac:dyDescent="0.25">
      <c r="A32" s="1" t="s">
        <v>81</v>
      </c>
      <c r="B32" s="74" t="s">
        <v>71</v>
      </c>
      <c r="C32" s="72"/>
      <c r="D32" s="72"/>
      <c r="E32" s="72"/>
      <c r="F32" s="72"/>
      <c r="G32" s="72"/>
      <c r="H32" s="72"/>
      <c r="I32" s="72"/>
      <c r="J32" s="72"/>
      <c r="K32" s="72"/>
      <c r="L32" s="72"/>
      <c r="M32" s="72"/>
      <c r="N32" s="72"/>
      <c r="O32" s="72"/>
      <c r="P32" s="72"/>
      <c r="Q32" s="72"/>
      <c r="R32" s="72"/>
      <c r="S32" s="72"/>
      <c r="T32" s="75"/>
    </row>
    <row r="33" spans="1:20" ht="22.5" customHeight="1" x14ac:dyDescent="0.25">
      <c r="B33" s="13" t="s">
        <v>94</v>
      </c>
      <c r="C33" s="14"/>
      <c r="D33" s="14"/>
      <c r="E33" s="14"/>
      <c r="F33" s="14"/>
      <c r="G33" s="14"/>
      <c r="H33" s="14"/>
      <c r="I33" s="14"/>
      <c r="J33" s="14"/>
      <c r="K33" s="14"/>
      <c r="L33" s="14"/>
      <c r="M33" s="14"/>
      <c r="N33" s="14"/>
      <c r="O33" s="14"/>
      <c r="P33" s="14"/>
      <c r="Q33" s="14"/>
      <c r="R33" s="14"/>
      <c r="S33" s="14"/>
      <c r="T33" s="15"/>
    </row>
    <row r="34" spans="1:20" ht="16.5" customHeight="1" x14ac:dyDescent="0.25">
      <c r="B34" s="16"/>
      <c r="C34" s="17"/>
      <c r="D34" s="17"/>
      <c r="E34" s="17"/>
      <c r="F34" s="17"/>
      <c r="G34" s="17"/>
      <c r="H34" s="17"/>
      <c r="I34" s="17"/>
      <c r="J34" s="17"/>
      <c r="K34" s="17"/>
      <c r="L34" s="17"/>
      <c r="M34" s="17"/>
      <c r="N34" s="17"/>
      <c r="O34" s="17"/>
      <c r="P34" s="17"/>
      <c r="Q34" s="17"/>
      <c r="R34" s="17"/>
      <c r="S34" s="17"/>
      <c r="T34" s="18"/>
    </row>
    <row r="35" spans="1:20" ht="26.25" customHeight="1" x14ac:dyDescent="0.25">
      <c r="B35" s="19"/>
      <c r="C35" s="20"/>
      <c r="D35" s="20"/>
      <c r="E35" s="20"/>
      <c r="F35" s="20"/>
      <c r="G35" s="20"/>
      <c r="H35" s="20"/>
      <c r="I35" s="20"/>
      <c r="J35" s="20"/>
      <c r="K35" s="20"/>
      <c r="L35" s="20"/>
      <c r="M35" s="20"/>
      <c r="N35" s="20"/>
      <c r="O35" s="20"/>
      <c r="P35" s="20"/>
      <c r="Q35" s="20"/>
      <c r="R35" s="20"/>
      <c r="S35" s="20"/>
      <c r="T35" s="21"/>
    </row>
    <row r="37" spans="1:20" ht="29.25" customHeight="1" x14ac:dyDescent="0.25">
      <c r="A37" s="1" t="s">
        <v>87</v>
      </c>
      <c r="B37" s="69" t="s">
        <v>72</v>
      </c>
      <c r="C37" s="70"/>
      <c r="D37" s="70"/>
      <c r="E37" s="70"/>
      <c r="F37" s="70"/>
      <c r="G37" s="70"/>
      <c r="H37" s="70"/>
      <c r="I37" s="70"/>
      <c r="J37" s="70"/>
      <c r="K37" s="70"/>
      <c r="L37" s="70"/>
      <c r="M37" s="70"/>
      <c r="N37" s="70"/>
      <c r="O37" s="70"/>
      <c r="P37" s="70"/>
      <c r="Q37" s="70"/>
      <c r="R37" s="70"/>
      <c r="S37" s="70"/>
      <c r="T37" s="71"/>
    </row>
    <row r="38" spans="1:20" ht="39" customHeight="1" x14ac:dyDescent="0.25">
      <c r="B38" s="13" t="s">
        <v>95</v>
      </c>
      <c r="C38" s="14"/>
      <c r="D38" s="14"/>
      <c r="E38" s="14"/>
      <c r="F38" s="14"/>
      <c r="G38" s="14"/>
      <c r="H38" s="14"/>
      <c r="I38" s="14"/>
      <c r="J38" s="14"/>
      <c r="K38" s="14"/>
      <c r="L38" s="14"/>
      <c r="M38" s="14"/>
      <c r="N38" s="14"/>
      <c r="O38" s="14"/>
      <c r="P38" s="14"/>
      <c r="Q38" s="14"/>
      <c r="R38" s="14"/>
      <c r="S38" s="14"/>
      <c r="T38" s="15"/>
    </row>
    <row r="39" spans="1:20" ht="45" customHeight="1" x14ac:dyDescent="0.25">
      <c r="B39" s="16"/>
      <c r="C39" s="17"/>
      <c r="D39" s="17"/>
      <c r="E39" s="17"/>
      <c r="F39" s="17"/>
      <c r="G39" s="17"/>
      <c r="H39" s="17"/>
      <c r="I39" s="17"/>
      <c r="J39" s="17"/>
      <c r="K39" s="17"/>
      <c r="L39" s="17"/>
      <c r="M39" s="17"/>
      <c r="N39" s="17"/>
      <c r="O39" s="17"/>
      <c r="P39" s="17"/>
      <c r="Q39" s="17"/>
      <c r="R39" s="17"/>
      <c r="S39" s="17"/>
      <c r="T39" s="18"/>
    </row>
    <row r="40" spans="1:20" ht="23.25" customHeight="1" x14ac:dyDescent="0.25">
      <c r="B40" s="16"/>
      <c r="C40" s="17"/>
      <c r="D40" s="17"/>
      <c r="E40" s="17"/>
      <c r="F40" s="17"/>
      <c r="G40" s="17"/>
      <c r="H40" s="17"/>
      <c r="I40" s="17"/>
      <c r="J40" s="17"/>
      <c r="K40" s="17"/>
      <c r="L40" s="17"/>
      <c r="M40" s="17"/>
      <c r="N40" s="17"/>
      <c r="O40" s="17"/>
      <c r="P40" s="17"/>
      <c r="Q40" s="17"/>
      <c r="R40" s="17"/>
      <c r="S40" s="17"/>
      <c r="T40" s="18"/>
    </row>
    <row r="41" spans="1:20" ht="32.25" customHeight="1" x14ac:dyDescent="0.25">
      <c r="B41" s="19"/>
      <c r="C41" s="20"/>
      <c r="D41" s="20"/>
      <c r="E41" s="20"/>
      <c r="F41" s="20"/>
      <c r="G41" s="20"/>
      <c r="H41" s="20"/>
      <c r="I41" s="20"/>
      <c r="J41" s="20"/>
      <c r="K41" s="20"/>
      <c r="L41" s="20"/>
      <c r="M41" s="20"/>
      <c r="N41" s="20"/>
      <c r="O41" s="20"/>
      <c r="P41" s="20"/>
      <c r="Q41" s="20"/>
      <c r="R41" s="20"/>
      <c r="S41" s="20"/>
      <c r="T41" s="21"/>
    </row>
    <row r="43" spans="1:20" ht="45" x14ac:dyDescent="0.25">
      <c r="C43" s="50" t="s">
        <v>55</v>
      </c>
      <c r="D43" s="50" t="s">
        <v>74</v>
      </c>
      <c r="E43" s="50" t="s">
        <v>75</v>
      </c>
      <c r="F43" s="50" t="s">
        <v>76</v>
      </c>
      <c r="G43" s="50" t="s">
        <v>77</v>
      </c>
      <c r="H43" s="50" t="s">
        <v>58</v>
      </c>
      <c r="I43" s="50" t="s">
        <v>59</v>
      </c>
      <c r="J43" s="50" t="s">
        <v>60</v>
      </c>
      <c r="K43" s="86" t="s">
        <v>88</v>
      </c>
    </row>
    <row r="44" spans="1:20" x14ac:dyDescent="0.25">
      <c r="C44" s="43">
        <v>24</v>
      </c>
      <c r="D44" s="43">
        <v>11.9</v>
      </c>
      <c r="E44" s="43">
        <v>12.14</v>
      </c>
      <c r="F44" s="43">
        <f>E44*0.9+D44*0.1</f>
        <v>12.116</v>
      </c>
      <c r="G44" s="43">
        <v>7</v>
      </c>
      <c r="H44" s="43">
        <f>C44-F44</f>
        <v>11.884</v>
      </c>
      <c r="I44" s="43">
        <f>F44-G44</f>
        <v>5.1159999999999997</v>
      </c>
      <c r="J44" s="76">
        <f>H44/(H44+I44)</f>
        <v>0.69905882352941173</v>
      </c>
      <c r="K44" s="77">
        <v>0.2</v>
      </c>
    </row>
    <row r="46" spans="1:20" ht="45" x14ac:dyDescent="0.25">
      <c r="C46" s="54" t="s">
        <v>83</v>
      </c>
      <c r="D46" s="41" t="s">
        <v>78</v>
      </c>
      <c r="E46" s="40" t="s">
        <v>53</v>
      </c>
      <c r="F46" s="41" t="s">
        <v>82</v>
      </c>
      <c r="G46" s="41" t="s">
        <v>73</v>
      </c>
      <c r="H46" s="40" t="s">
        <v>68</v>
      </c>
      <c r="I46" s="40" t="s">
        <v>62</v>
      </c>
      <c r="J46" s="40" t="s">
        <v>63</v>
      </c>
      <c r="K46" s="41" t="s">
        <v>64</v>
      </c>
      <c r="L46" s="41" t="s">
        <v>65</v>
      </c>
      <c r="M46" s="41" t="s">
        <v>66</v>
      </c>
      <c r="N46" s="41" t="s">
        <v>67</v>
      </c>
      <c r="O46" s="42" t="s">
        <v>69</v>
      </c>
    </row>
    <row r="47" spans="1:20" x14ac:dyDescent="0.25">
      <c r="B47" s="50" t="s">
        <v>46</v>
      </c>
      <c r="C47" s="22">
        <v>30763</v>
      </c>
      <c r="D47" s="23">
        <f>C47*$K$44</f>
        <v>6152.6</v>
      </c>
      <c r="E47" s="23">
        <v>13843</v>
      </c>
      <c r="F47" s="47"/>
      <c r="G47" s="23">
        <v>0</v>
      </c>
      <c r="H47" s="24">
        <f>D47</f>
        <v>6152.6</v>
      </c>
      <c r="I47" s="23"/>
      <c r="J47" s="23"/>
      <c r="K47" s="23"/>
      <c r="L47" s="23"/>
      <c r="M47" s="23"/>
      <c r="N47" s="23"/>
      <c r="O47" s="25">
        <f>H47*$E$6</f>
        <v>80599.06</v>
      </c>
    </row>
    <row r="48" spans="1:20" x14ac:dyDescent="0.25">
      <c r="B48" s="45" t="s">
        <v>47</v>
      </c>
      <c r="C48" s="26">
        <v>10569</v>
      </c>
      <c r="D48" s="27">
        <f t="shared" ref="D48:D52" si="1">C48*$K$44</f>
        <v>2113.8000000000002</v>
      </c>
      <c r="E48" s="27">
        <v>4756</v>
      </c>
      <c r="F48" s="48"/>
      <c r="G48" s="27">
        <v>0</v>
      </c>
      <c r="H48" s="28">
        <f t="shared" ref="H48:H52" si="2">D48</f>
        <v>2113.8000000000002</v>
      </c>
      <c r="I48" s="27"/>
      <c r="J48" s="27"/>
      <c r="K48" s="27"/>
      <c r="L48" s="27"/>
      <c r="M48" s="27"/>
      <c r="N48" s="27"/>
      <c r="O48" s="30">
        <f>H48*$E$6</f>
        <v>27690.780000000002</v>
      </c>
    </row>
    <row r="49" spans="2:15" x14ac:dyDescent="0.25">
      <c r="B49" s="45" t="s">
        <v>45</v>
      </c>
      <c r="C49" s="26">
        <v>8159</v>
      </c>
      <c r="D49" s="27">
        <f t="shared" si="1"/>
        <v>1631.8000000000002</v>
      </c>
      <c r="E49" s="27">
        <v>3671</v>
      </c>
      <c r="F49" s="48"/>
      <c r="G49" s="27">
        <v>0</v>
      </c>
      <c r="H49" s="28">
        <f t="shared" si="2"/>
        <v>1631.8000000000002</v>
      </c>
      <c r="I49" s="27"/>
      <c r="J49" s="27"/>
      <c r="K49" s="27"/>
      <c r="L49" s="27"/>
      <c r="M49" s="27"/>
      <c r="N49" s="27"/>
      <c r="O49" s="30">
        <f>H49*$E$6</f>
        <v>21376.58</v>
      </c>
    </row>
    <row r="50" spans="2:15" x14ac:dyDescent="0.25">
      <c r="B50" s="45" t="s">
        <v>48</v>
      </c>
      <c r="C50" s="26">
        <v>7270</v>
      </c>
      <c r="D50" s="27">
        <f t="shared" si="1"/>
        <v>1454</v>
      </c>
      <c r="E50" s="27">
        <v>4362</v>
      </c>
      <c r="F50" s="48"/>
      <c r="G50" s="53">
        <v>0</v>
      </c>
      <c r="H50" s="28">
        <f t="shared" si="2"/>
        <v>1454</v>
      </c>
      <c r="I50" s="27"/>
      <c r="J50" s="27"/>
      <c r="K50" s="27"/>
      <c r="L50" s="27"/>
      <c r="M50" s="27"/>
      <c r="N50" s="27"/>
      <c r="O50" s="30">
        <f>H50*$E$6</f>
        <v>19047.399999999998</v>
      </c>
    </row>
    <row r="51" spans="2:15" x14ac:dyDescent="0.25">
      <c r="B51" s="45" t="s">
        <v>49</v>
      </c>
      <c r="C51" s="26">
        <v>5526</v>
      </c>
      <c r="D51" s="27">
        <f t="shared" si="1"/>
        <v>1105.2</v>
      </c>
      <c r="E51" s="27">
        <v>3316</v>
      </c>
      <c r="F51" s="48"/>
      <c r="G51" s="53">
        <v>0</v>
      </c>
      <c r="H51" s="28">
        <f t="shared" si="2"/>
        <v>1105.2</v>
      </c>
      <c r="I51" s="27"/>
      <c r="J51" s="27"/>
      <c r="K51" s="27"/>
      <c r="L51" s="27"/>
      <c r="M51" s="27"/>
      <c r="N51" s="27"/>
      <c r="O51" s="30">
        <f>H51*$E$6</f>
        <v>14478.12</v>
      </c>
    </row>
    <row r="52" spans="2:15" x14ac:dyDescent="0.25">
      <c r="B52" s="45" t="s">
        <v>50</v>
      </c>
      <c r="C52" s="26">
        <v>2118</v>
      </c>
      <c r="D52" s="27">
        <f t="shared" si="1"/>
        <v>423.6</v>
      </c>
      <c r="E52" s="27">
        <v>1271</v>
      </c>
      <c r="F52" s="48"/>
      <c r="G52" s="53">
        <v>0</v>
      </c>
      <c r="H52" s="28">
        <f t="shared" si="2"/>
        <v>423.6</v>
      </c>
      <c r="I52" s="27"/>
      <c r="J52" s="27"/>
      <c r="K52" s="27"/>
      <c r="L52" s="27"/>
      <c r="M52" s="27"/>
      <c r="N52" s="27"/>
      <c r="O52" s="30">
        <f>H52*$E$6</f>
        <v>5549.16</v>
      </c>
    </row>
    <row r="53" spans="2:15" ht="15.75" thickBot="1" x14ac:dyDescent="0.3">
      <c r="B53" s="46" t="s">
        <v>51</v>
      </c>
      <c r="C53" s="31">
        <v>23275</v>
      </c>
      <c r="D53" s="32">
        <f>C47-D47+C48-D48+C49-D49+C50-D50+C51-D51+C52-D52+C53</f>
        <v>74799</v>
      </c>
      <c r="E53" s="32">
        <v>10474</v>
      </c>
      <c r="F53" s="49">
        <f>D53/C8</f>
        <v>0.85309078467153288</v>
      </c>
      <c r="G53" s="55">
        <f>F53*D8</f>
        <v>16388.727064324819</v>
      </c>
      <c r="H53" s="33">
        <f>_xlfn.NORM.INV($J$44,D53,G53)</f>
        <v>83348.92528728125</v>
      </c>
      <c r="I53" s="34">
        <f>(H53-D53)/G53</f>
        <v>0.52169550775501239</v>
      </c>
      <c r="J53" s="34">
        <f>_xlfn.NORM.DIST(I53,0,1,0)-I53*(1-_xlfn.NORM.DIST(I53,0,1,1))</f>
        <v>0.19118523451690736</v>
      </c>
      <c r="K53" s="34">
        <f>J53*G53</f>
        <v>3133.2826272265274</v>
      </c>
      <c r="L53" s="34">
        <f>D53-K53</f>
        <v>71665.717372773477</v>
      </c>
      <c r="M53" s="34">
        <f>H53-L53</f>
        <v>11683.207914507773</v>
      </c>
      <c r="N53" s="29">
        <f>K53*$H$44+M53*$I$44</f>
        <v>97007.222432581824</v>
      </c>
      <c r="O53" s="30">
        <f>D53*($C$44-$F$44)-N53</f>
        <v>791904.09356741817</v>
      </c>
    </row>
    <row r="54" spans="2:15" ht="15.75" thickBot="1" x14ac:dyDescent="0.3">
      <c r="N54" s="78" t="s">
        <v>90</v>
      </c>
      <c r="O54" s="79">
        <f>SUM(O47:O53)</f>
        <v>960645.19356741814</v>
      </c>
    </row>
    <row r="55" spans="2:15" x14ac:dyDescent="0.25">
      <c r="E55" s="11"/>
      <c r="H55" s="12"/>
    </row>
    <row r="56" spans="2:15" x14ac:dyDescent="0.25">
      <c r="B56" s="51"/>
    </row>
    <row r="58" spans="2:15" x14ac:dyDescent="0.25">
      <c r="E58" s="12"/>
    </row>
    <row r="59" spans="2:15" x14ac:dyDescent="0.25">
      <c r="F59" s="12"/>
    </row>
    <row r="61" spans="2:15" x14ac:dyDescent="0.25">
      <c r="F61" s="12"/>
    </row>
  </sheetData>
  <mergeCells count="10">
    <mergeCell ref="B22:T25"/>
    <mergeCell ref="B28:T30"/>
    <mergeCell ref="B33:T35"/>
    <mergeCell ref="H4:M4"/>
    <mergeCell ref="B4:G4"/>
    <mergeCell ref="B38:T41"/>
    <mergeCell ref="B37:T37"/>
    <mergeCell ref="B27:T27"/>
    <mergeCell ref="B21:T21"/>
    <mergeCell ref="B32:T32"/>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Reebok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dc:creator>
  <cp:lastModifiedBy>Tom</cp:lastModifiedBy>
  <dcterms:created xsi:type="dcterms:W3CDTF">2023-02-13T20:24:28Z</dcterms:created>
  <dcterms:modified xsi:type="dcterms:W3CDTF">2023-02-15T00:51:15Z</dcterms:modified>
</cp:coreProperties>
</file>